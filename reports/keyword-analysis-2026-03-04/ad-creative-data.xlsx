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매칭_광고_전체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<sst xmlns="http://schemas.openxmlformats.org/spreadsheetml/2006/main" count="422" uniqueCount="155">
  <si>
    <r>
      <rPr>
        <b val="true"/>
        <sz val="12"/>
        <rFont val="DejaVu Sans"/>
        <family val="2"/>
      </rPr>
      <t xml:space="preserve">네이버 검색광고 소재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DejaVu Sans"/>
        <family val="2"/>
      </rPr>
      <t xml:space="preserve">상품</t>
    </r>
    <r>
      <rPr>
        <b val="true"/>
        <sz val="12"/>
        <rFont val="Arial"/>
        <family val="0"/>
        <charset val="1"/>
      </rPr>
      <t xml:space="preserve">) </t>
    </r>
    <r>
      <rPr>
        <b val="true"/>
        <sz val="12"/>
        <rFont val="DejaVu Sans"/>
        <family val="2"/>
      </rPr>
      <t xml:space="preserve">단위 통계 — </t>
    </r>
    <r>
      <rPr>
        <b val="true"/>
        <sz val="12"/>
        <rFont val="Arial"/>
        <family val="0"/>
        <charset val="1"/>
      </rPr>
      <t xml:space="preserve">2026-03-01 ~ 2026-04-30 [v3 </t>
    </r>
    <r>
      <rPr>
        <b val="true"/>
        <sz val="12"/>
        <rFont val="DejaVu Sans"/>
        <family val="2"/>
      </rPr>
      <t xml:space="preserve">검증판</t>
    </r>
    <r>
      <rPr>
        <b val="true"/>
        <sz val="12"/>
        <rFont val="Arial"/>
        <family val="0"/>
        <charset val="1"/>
      </rPr>
      <t xml:space="preserve">]</t>
    </r>
  </si>
  <si>
    <r>
      <rPr>
        <i val="true"/>
        <sz val="9"/>
        <color rgb="FF666666"/>
        <rFont val="DejaVu Sans"/>
        <family val="2"/>
      </rPr>
      <t xml:space="preserve">※ 매칭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DejaVu Sans"/>
        <family val="2"/>
      </rPr>
      <t xml:space="preserve">광고 텍스트</t>
    </r>
    <r>
      <rPr>
        <i val="true"/>
        <sz val="9"/>
        <color rgb="FF666666"/>
        <rFont val="Arial"/>
        <family val="0"/>
        <charset val="1"/>
      </rPr>
      <t xml:space="preserve">(productName/headline/name/title)</t>
    </r>
    <r>
      <rPr>
        <i val="true"/>
        <sz val="9"/>
        <color rgb="FF666666"/>
        <rFont val="DejaVu Sans"/>
        <family val="2"/>
      </rPr>
      <t xml:space="preserve">에 단어 정확 포함 </t>
    </r>
    <r>
      <rPr>
        <i val="true"/>
        <sz val="9"/>
        <color rgb="FF666666"/>
        <rFont val="Arial"/>
        <family val="0"/>
        <charset val="1"/>
      </rPr>
      <t xml:space="preserve">/ description </t>
    </r>
    <r>
      <rPr>
        <i val="true"/>
        <sz val="9"/>
        <color rgb="FF666666"/>
        <rFont val="DejaVu Sans"/>
        <family val="2"/>
      </rPr>
      <t xml:space="preserve">제외 </t>
    </r>
    <r>
      <rPr>
        <i val="true"/>
        <sz val="9"/>
        <color rgb="FF666666"/>
        <rFont val="Arial"/>
        <family val="0"/>
        <charset val="1"/>
      </rPr>
      <t xml:space="preserve">(over-match 18</t>
    </r>
    <r>
      <rPr>
        <i val="true"/>
        <sz val="9"/>
        <color rgb="FF666666"/>
        <rFont val="DejaVu Sans"/>
        <family val="2"/>
      </rPr>
      <t xml:space="preserve">개 제거</t>
    </r>
    <r>
      <rPr>
        <i val="true"/>
        <sz val="9"/>
        <color rgb="FF666666"/>
        <rFont val="Arial"/>
        <family val="0"/>
        <charset val="1"/>
      </rPr>
      <t xml:space="preserve">)</t>
    </r>
  </si>
  <si>
    <t xml:space="preserve">계정</t>
  </si>
  <si>
    <t xml:space="preserve">매체</t>
  </si>
  <si>
    <t xml:space="preserve">단어</t>
  </si>
  <si>
    <r>
      <rPr>
        <b val="true"/>
        <sz val="10"/>
        <color rgb="FFFFFFFF"/>
        <rFont val="DejaVu Sans"/>
        <family val="2"/>
      </rPr>
      <t xml:space="preserve">광고비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</si>
  <si>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클릭</t>
  </si>
  <si>
    <r>
      <rPr>
        <b val="true"/>
        <sz val="10"/>
        <color rgb="FFFFFFFF"/>
        <rFont val="DejaVu Sans"/>
        <family val="2"/>
      </rPr>
      <t xml:space="preserve">평균</t>
    </r>
    <r>
      <rPr>
        <b val="true"/>
        <sz val="10"/>
        <color rgb="FFFFFFFF"/>
        <rFont val="Arial"/>
        <family val="0"/>
        <charset val="1"/>
      </rPr>
      <t xml:space="preserve">CPC(</t>
    </r>
    <r>
      <rPr>
        <b val="true"/>
        <sz val="10"/>
        <color rgb="FFFFFFFF"/>
        <rFont val="DejaVu Sans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</si>
  <si>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매칭 광고</t>
  </si>
  <si>
    <t xml:space="preserve">노출</t>
  </si>
  <si>
    <t xml:space="preserve">A</t>
  </si>
  <si>
    <t xml:space="preserve">파워링크</t>
  </si>
  <si>
    <t xml:space="preserve">게시판</t>
  </si>
  <si>
    <t xml:space="preserve">쇼핑검색</t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</si>
  <si>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형입간판</t>
    </r>
  </si>
  <si>
    <t xml:space="preserve">오뚜기</t>
  </si>
  <si>
    <t xml:space="preserve">주차스티커</t>
  </si>
  <si>
    <t xml:space="preserve">B</t>
  </si>
  <si>
    <t xml:space="preserve">합계</t>
  </si>
  <si>
    <r>
      <rPr>
        <b val="true"/>
        <sz val="12"/>
        <rFont val="DejaVu Sans"/>
        <family val="2"/>
      </rPr>
      <t xml:space="preserve">단어별 합계 </t>
    </r>
    <r>
      <rPr>
        <b val="true"/>
        <sz val="12"/>
        <rFont val="Arial"/>
        <family val="0"/>
        <charset val="1"/>
      </rPr>
      <t xml:space="preserve">(A</t>
    </r>
    <r>
      <rPr>
        <b val="true"/>
        <sz val="12"/>
        <rFont val="DejaVu Sans"/>
        <family val="2"/>
      </rPr>
      <t xml:space="preserve">쇼핑 </t>
    </r>
    <r>
      <rPr>
        <b val="true"/>
        <sz val="12"/>
        <rFont val="Arial"/>
        <family val="0"/>
        <charset val="1"/>
      </rPr>
      <t xml:space="preserve">+ B</t>
    </r>
    <r>
      <rPr>
        <b val="true"/>
        <sz val="12"/>
        <rFont val="DejaVu Sans"/>
        <family val="2"/>
      </rPr>
      <t xml:space="preserve">파워링크 합산</t>
    </r>
    <r>
      <rPr>
        <b val="true"/>
        <sz val="12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</si>
  <si>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DejaVu Sans"/>
        <family val="2"/>
      </rPr>
      <t xml:space="preserve">단어 합계</t>
    </r>
  </si>
  <si>
    <r>
      <rPr>
        <b val="true"/>
        <sz val="12"/>
        <rFont val="DejaVu Sans"/>
        <family val="2"/>
      </rPr>
      <t xml:space="preserve">매칭된 소재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DejaVu Sans"/>
        <family val="2"/>
      </rPr>
      <t xml:space="preserve">상품</t>
    </r>
    <r>
      <rPr>
        <b val="true"/>
        <sz val="12"/>
        <rFont val="Arial"/>
        <family val="0"/>
        <charset val="1"/>
      </rPr>
      <t xml:space="preserve">/</t>
    </r>
    <r>
      <rPr>
        <b val="true"/>
        <sz val="12"/>
        <rFont val="DejaVu Sans"/>
        <family val="2"/>
      </rPr>
      <t xml:space="preserve">광고</t>
    </r>
    <r>
      <rPr>
        <b val="true"/>
        <sz val="12"/>
        <rFont val="Arial"/>
        <family val="0"/>
        <charset val="1"/>
      </rPr>
      <t xml:space="preserve">) </t>
    </r>
    <r>
      <rPr>
        <b val="true"/>
        <sz val="12"/>
        <rFont val="DejaVu Sans"/>
        <family val="2"/>
      </rPr>
      <t xml:space="preserve">전체 — </t>
    </r>
    <r>
      <rPr>
        <b val="true"/>
        <sz val="12"/>
        <rFont val="Arial"/>
        <family val="0"/>
        <charset val="1"/>
      </rPr>
      <t xml:space="preserve">56</t>
    </r>
    <r>
      <rPr>
        <b val="true"/>
        <sz val="12"/>
        <rFont val="DejaVu Sans"/>
        <family val="2"/>
      </rPr>
      <t xml:space="preserve">개</t>
    </r>
  </si>
  <si>
    <r>
      <rPr>
        <b val="true"/>
        <sz val="10"/>
        <color rgb="FFFFFFFF"/>
        <rFont val="DejaVu Sans"/>
        <family val="2"/>
      </rPr>
      <t xml:space="preserve">광고 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</si>
  <si>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상태</t>
  </si>
  <si>
    <t xml:space="preserve">광고 텍스트</t>
  </si>
  <si>
    <t xml:space="preserve">광고그룹</t>
  </si>
  <si>
    <t xml:space="preserve">nad-a001-02-000000291669741</t>
  </si>
  <si>
    <t xml:space="preserve">ELIGIBLE</t>
  </si>
  <si>
    <r>
      <rPr>
        <sz val="10"/>
        <rFont val="DejaVu Sans"/>
        <family val="2"/>
      </rPr>
      <t xml:space="preserve">슬림업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구 승강기 엘리베이터 게시판 </t>
    </r>
    <r>
      <rPr>
        <sz val="10"/>
        <rFont val="Arial"/>
        <family val="0"/>
        <charset val="1"/>
      </rPr>
      <t xml:space="preserve">A4</t>
    </r>
  </si>
  <si>
    <t xml:space="preserve">nad-a001-02-000000291669743</t>
  </si>
  <si>
    <r>
      <rPr>
        <sz val="10"/>
        <rFont val="DejaVu Sans"/>
        <family val="2"/>
      </rPr>
      <t xml:space="preserve">슬림업 게시판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구 공지사항 안내문 </t>
    </r>
    <r>
      <rPr>
        <sz val="10"/>
        <rFont val="Arial"/>
        <family val="0"/>
        <charset val="1"/>
      </rPr>
      <t xml:space="preserve">A4</t>
    </r>
  </si>
  <si>
    <t xml:space="preserve">nad-a001-02-000000282079658</t>
  </si>
  <si>
    <r>
      <rPr>
        <sz val="10"/>
        <rFont val="DejaVu Sans"/>
        <family val="2"/>
      </rPr>
      <t xml:space="preserve">엘리베이터 크리스탈 게시판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구</t>
    </r>
  </si>
  <si>
    <t xml:space="preserve">nad-a001-02-000000287049963</t>
  </si>
  <si>
    <r>
      <rPr>
        <sz val="10"/>
        <rFont val="DejaVu Sans"/>
        <family val="2"/>
      </rPr>
      <t xml:space="preserve">아크릴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구게시판 고강도 엘리베이터 디자인제작</t>
    </r>
  </si>
  <si>
    <r>
      <rPr>
        <sz val="10"/>
        <rFont val="Arial"/>
        <family val="0"/>
        <charset val="1"/>
      </rPr>
      <t xml:space="preserve">10 </t>
    </r>
    <r>
      <rPr>
        <sz val="10"/>
        <rFont val="DejaVu Sans"/>
        <family val="2"/>
      </rPr>
      <t xml:space="preserve">세부키워드</t>
    </r>
  </si>
  <si>
    <t xml:space="preserve">nad-a001-02-000000287050021</t>
  </si>
  <si>
    <r>
      <rPr>
        <sz val="10"/>
        <rFont val="DejaVu Sans"/>
        <family val="2"/>
      </rPr>
      <t xml:space="preserve">슬림디자인 아크릴 안전게시판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구 집게형</t>
    </r>
  </si>
  <si>
    <r>
      <rPr>
        <sz val="10"/>
        <rFont val="Arial"/>
        <family val="0"/>
        <charset val="1"/>
      </rPr>
      <t xml:space="preserve">05 </t>
    </r>
    <r>
      <rPr>
        <sz val="10"/>
        <rFont val="DejaVu Sans"/>
        <family val="2"/>
      </rPr>
      <t xml:space="preserve">안전게시판</t>
    </r>
  </si>
  <si>
    <t xml:space="preserve">nad-a001-02-000000292520518</t>
  </si>
  <si>
    <r>
      <rPr>
        <sz val="10"/>
        <rFont val="DejaVu Sans"/>
        <family val="2"/>
      </rPr>
      <t xml:space="preserve">슬림업 디자인 간단한 안전게시판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구 포켓형</t>
    </r>
  </si>
  <si>
    <t xml:space="preserve">nad-a001-02-000000292522972</t>
  </si>
  <si>
    <r>
      <rPr>
        <sz val="10"/>
        <rFont val="DejaVu Sans"/>
        <family val="2"/>
      </rPr>
      <t xml:space="preserve">슬림업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구 승강기 엘리베이터 게시판 </t>
    </r>
    <r>
      <rPr>
        <sz val="10"/>
        <rFont val="Arial"/>
        <family val="0"/>
        <charset val="1"/>
      </rPr>
      <t xml:space="preserve">A4 </t>
    </r>
    <r>
      <rPr>
        <sz val="10"/>
        <rFont val="DejaVu Sans"/>
        <family val="2"/>
      </rPr>
      <t xml:space="preserve">꽂</t>
    </r>
  </si>
  <si>
    <r>
      <rPr>
        <sz val="10"/>
        <rFont val="Arial"/>
        <family val="0"/>
        <charset val="1"/>
      </rPr>
      <t xml:space="preserve">01 </t>
    </r>
    <r>
      <rPr>
        <sz val="10"/>
        <rFont val="DejaVu Sans"/>
        <family val="2"/>
      </rPr>
      <t xml:space="preserve">엘리베이터광고판</t>
    </r>
  </si>
  <si>
    <t xml:space="preserve">nad-a001-02-000000292522977</t>
  </si>
  <si>
    <r>
      <rPr>
        <sz val="10"/>
        <rFont val="DejaVu Sans"/>
        <family val="2"/>
      </rPr>
      <t xml:space="preserve">슬림업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구 승강기 엘리베이터게시판 디자인제작</t>
    </r>
  </si>
  <si>
    <r>
      <rPr>
        <sz val="10"/>
        <rFont val="Arial"/>
        <family val="0"/>
        <charset val="1"/>
      </rPr>
      <t xml:space="preserve">02 </t>
    </r>
    <r>
      <rPr>
        <sz val="10"/>
        <rFont val="DejaVu Sans"/>
        <family val="2"/>
      </rPr>
      <t xml:space="preserve">엘리베이터게시판</t>
    </r>
  </si>
  <si>
    <t xml:space="preserve">nad-a001-02-000000292522990</t>
  </si>
  <si>
    <r>
      <rPr>
        <sz val="10"/>
        <rFont val="Arial"/>
        <family val="0"/>
        <charset val="1"/>
      </rPr>
      <t xml:space="preserve">03 </t>
    </r>
    <r>
      <rPr>
        <sz val="10"/>
        <rFont val="DejaVu Sans"/>
        <family val="2"/>
      </rPr>
      <t xml:space="preserve">아파트게시판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</si>
  <si>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DejaVu Sans"/>
        <family val="2"/>
      </rPr>
      <t xml:space="preserve">형입간판</t>
    </r>
  </si>
  <si>
    <t xml:space="preserve">nad-a001-02-000000296118751</t>
  </si>
  <si>
    <r>
      <rPr>
        <sz val="10"/>
        <rFont val="DejaVu Sans"/>
        <family val="2"/>
      </rPr>
      <t xml:space="preserve">주차금지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형 입간판 배너 블랙 디자인 주문</t>
    </r>
  </si>
  <si>
    <r>
      <rPr>
        <sz val="10"/>
        <rFont val="Arial"/>
        <family val="0"/>
        <charset val="1"/>
      </rPr>
      <t xml:space="preserve">00 </t>
    </r>
    <r>
      <rPr>
        <sz val="10"/>
        <rFont val="DejaVu Sans"/>
        <family val="2"/>
      </rPr>
      <t xml:space="preserve">하나</t>
    </r>
    <r>
      <rPr>
        <sz val="10"/>
        <rFont val="Arial"/>
        <family val="0"/>
        <charset val="1"/>
      </rPr>
      <t xml:space="preserve">_</t>
    </r>
    <r>
      <rPr>
        <sz val="10"/>
        <rFont val="DejaVu Sans"/>
        <family val="2"/>
      </rPr>
      <t xml:space="preserve">베스트</t>
    </r>
  </si>
  <si>
    <t xml:space="preserve">nad-a001-02-000000284401222</t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</si>
  <si>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형 입간판 배너 매장 예약 안내판 주문 제작</t>
    </r>
  </si>
  <si>
    <r>
      <rPr>
        <sz val="10"/>
        <rFont val="DejaVu Sans"/>
        <family val="2"/>
      </rPr>
      <t xml:space="preserve">입간판 </t>
    </r>
    <r>
      <rPr>
        <sz val="10"/>
        <rFont val="Arial"/>
        <family val="0"/>
        <charset val="1"/>
      </rPr>
      <t xml:space="preserve">1</t>
    </r>
  </si>
  <si>
    <t xml:space="preserve">nad-a001-02-000000284401300</t>
  </si>
  <si>
    <r>
      <rPr>
        <sz val="10"/>
        <rFont val="DejaVu Sans"/>
        <family val="2"/>
      </rPr>
      <t xml:space="preserve">오토바이 진입 통행 금지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형 입간판 접이식</t>
    </r>
  </si>
  <si>
    <r>
      <rPr>
        <sz val="10"/>
        <rFont val="DejaVu Sans"/>
        <family val="2"/>
      </rPr>
      <t xml:space="preserve">입간판 </t>
    </r>
    <r>
      <rPr>
        <sz val="10"/>
        <rFont val="Arial"/>
        <family val="0"/>
        <charset val="1"/>
      </rPr>
      <t xml:space="preserve">2</t>
    </r>
  </si>
  <si>
    <t xml:space="preserve">nad-a001-02-000000284401302</t>
  </si>
  <si>
    <r>
      <rPr>
        <sz val="10"/>
        <rFont val="DejaVu Sans"/>
        <family val="2"/>
      </rPr>
      <t xml:space="preserve">접이식 사진촬영 금지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형 입간판 경고 표지판</t>
    </r>
  </si>
  <si>
    <t xml:space="preserve">nad-a001-02-000000284401389</t>
  </si>
  <si>
    <r>
      <rPr>
        <sz val="10"/>
        <rFont val="DejaVu Sans"/>
        <family val="2"/>
      </rPr>
      <t xml:space="preserve">차량 오토바이 통행 진입 금지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형 입간판</t>
    </r>
  </si>
  <si>
    <t xml:space="preserve">nad-a001-02-000000284401339</t>
  </si>
  <si>
    <r>
      <rPr>
        <sz val="10"/>
        <rFont val="DejaVu Sans"/>
        <family val="2"/>
      </rPr>
      <t xml:space="preserve">병원 진료 약국 위치 유도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형 입간판</t>
    </r>
  </si>
  <si>
    <t xml:space="preserve">nad-a001-02-000000452110980</t>
  </si>
  <si>
    <r>
      <rPr>
        <sz val="10"/>
        <rFont val="Arial"/>
        <family val="0"/>
        <charset val="1"/>
      </rPr>
      <t xml:space="preserve">2026 </t>
    </r>
    <r>
      <rPr>
        <sz val="10"/>
        <rFont val="DejaVu Sans"/>
        <family val="2"/>
      </rPr>
      <t xml:space="preserve">하나몰</t>
    </r>
    <r>
      <rPr>
        <sz val="10"/>
        <rFont val="Arial"/>
        <family val="0"/>
        <charset val="1"/>
      </rPr>
      <t xml:space="preserve">_</t>
    </r>
    <r>
      <rPr>
        <sz val="10"/>
        <rFont val="DejaVu Sans"/>
        <family val="2"/>
      </rPr>
      <t xml:space="preserve">베스트</t>
    </r>
  </si>
  <si>
    <t xml:space="preserve">nad-a001-02-000000278521668</t>
  </si>
  <si>
    <r>
      <rPr>
        <sz val="10"/>
        <rFont val="DejaVu Sans"/>
        <family val="2"/>
      </rPr>
      <t xml:space="preserve">식당 영업중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형 입간판 간판 음식점 표지판</t>
    </r>
  </si>
  <si>
    <r>
      <rPr>
        <sz val="10"/>
        <rFont val="Arial"/>
        <family val="0"/>
        <charset val="1"/>
      </rPr>
      <t xml:space="preserve">01 </t>
    </r>
    <r>
      <rPr>
        <sz val="10"/>
        <rFont val="DejaVu Sans"/>
        <family val="2"/>
      </rPr>
      <t xml:space="preserve">영업중입간판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카테고리미매칭</t>
    </r>
  </si>
  <si>
    <t xml:space="preserve">nad-a001-02-000000278521551</t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</si>
  <si>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형 입간판 오픈 영업시간 주차금지등 공지안내</t>
    </r>
  </si>
  <si>
    <t xml:space="preserve">nad-a001-02-000000278521692</t>
  </si>
  <si>
    <r>
      <rPr>
        <sz val="10"/>
        <rFont val="DejaVu Sans"/>
        <family val="2"/>
      </rPr>
      <t xml:space="preserve">공사장 작업중 표지판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형 입간판 도로공사안내</t>
    </r>
  </si>
  <si>
    <r>
      <rPr>
        <sz val="10"/>
        <rFont val="Arial"/>
        <family val="0"/>
        <charset val="1"/>
      </rPr>
      <t xml:space="preserve">01 </t>
    </r>
    <r>
      <rPr>
        <sz val="10"/>
        <rFont val="DejaVu Sans"/>
        <family val="2"/>
      </rPr>
      <t xml:space="preserve">작업중표지판</t>
    </r>
  </si>
  <si>
    <t xml:space="preserve">nad-a001-02-000000278521706</t>
  </si>
  <si>
    <r>
      <rPr>
        <sz val="10"/>
        <rFont val="DejaVu Sans"/>
        <family val="2"/>
      </rPr>
      <t xml:space="preserve">공사중 작업중 안내 표지판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형 입간판</t>
    </r>
  </si>
  <si>
    <r>
      <rPr>
        <sz val="10"/>
        <rFont val="Arial"/>
        <family val="0"/>
        <charset val="1"/>
      </rPr>
      <t xml:space="preserve">03 </t>
    </r>
    <r>
      <rPr>
        <sz val="10"/>
        <rFont val="DejaVu Sans"/>
        <family val="2"/>
      </rPr>
      <t xml:space="preserve">작업중</t>
    </r>
  </si>
  <si>
    <t xml:space="preserve">nad-a001-02-000000278521707</t>
  </si>
  <si>
    <r>
      <rPr>
        <sz val="10"/>
        <rFont val="DejaVu Sans"/>
        <family val="2"/>
      </rPr>
      <t xml:space="preserve">공사 작업중 표지판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형 입간판 도로 공사안내</t>
    </r>
  </si>
  <si>
    <r>
      <rPr>
        <sz val="10"/>
        <rFont val="Arial"/>
        <family val="0"/>
        <charset val="1"/>
      </rPr>
      <t xml:space="preserve">04 </t>
    </r>
    <r>
      <rPr>
        <sz val="10"/>
        <rFont val="DejaVu Sans"/>
        <family val="2"/>
      </rPr>
      <t xml:space="preserve">작업표지판</t>
    </r>
  </si>
  <si>
    <t xml:space="preserve">nad-a001-02-000000282129641</t>
  </si>
  <si>
    <t xml:space="preserve">nad-a001-02-000000282129643</t>
  </si>
  <si>
    <t xml:space="preserve">nad-a001-02-000000282130185</t>
  </si>
  <si>
    <t xml:space="preserve">nad-a001-02-000000450397370</t>
  </si>
  <si>
    <r>
      <rPr>
        <sz val="10"/>
        <rFont val="DejaVu Sans"/>
        <family val="2"/>
      </rPr>
      <t xml:space="preserve">약국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형 입간판 병원 약 위치 유도용</t>
    </r>
  </si>
  <si>
    <t xml:space="preserve">nad-a001-02-000000311370219</t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</si>
  <si>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형 입간판 배너 주차구역 알림판 안내판 외부</t>
    </r>
  </si>
  <si>
    <t xml:space="preserve">nad-a001-02-000000284215246</t>
  </si>
  <si>
    <t xml:space="preserve">대형 블랙 오뚜기 입간판 교통안전용품</t>
  </si>
  <si>
    <t xml:space="preserve">nad-a001-02-000000284215247</t>
  </si>
  <si>
    <t xml:space="preserve">일반사각 오뚜기 입간판 주차용품 표지판 금연</t>
  </si>
  <si>
    <t xml:space="preserve">nad-a001-02-000000284215249</t>
  </si>
  <si>
    <t xml:space="preserve">PAUSED</t>
  </si>
  <si>
    <t xml:space="preserve">대형 주황 오뚜기입간판 주차금지 표지판 안내판</t>
  </si>
  <si>
    <t xml:space="preserve">nad-a001-02-000000279481336</t>
  </si>
  <si>
    <t xml:space="preserve">주차금지표지판 사각 검정 오뚜기 주차콘</t>
  </si>
  <si>
    <r>
      <rPr>
        <sz val="10"/>
        <rFont val="Arial"/>
        <family val="0"/>
        <charset val="1"/>
      </rPr>
      <t xml:space="preserve">06 </t>
    </r>
    <r>
      <rPr>
        <sz val="10"/>
        <rFont val="DejaVu Sans"/>
        <family val="2"/>
      </rPr>
      <t xml:space="preserve">주차콘</t>
    </r>
  </si>
  <si>
    <t xml:space="preserve">nad-a001-02-000000279481338</t>
  </si>
  <si>
    <t xml:space="preserve">주차표지판 주차금지대 사각 검정 오뚜기 주차콘</t>
  </si>
  <si>
    <r>
      <rPr>
        <sz val="10"/>
        <rFont val="Arial"/>
        <family val="0"/>
        <charset val="1"/>
      </rPr>
      <t xml:space="preserve">05 </t>
    </r>
    <r>
      <rPr>
        <sz val="10"/>
        <rFont val="DejaVu Sans"/>
        <family val="2"/>
      </rPr>
      <t xml:space="preserve">주차표지판</t>
    </r>
  </si>
  <si>
    <t xml:space="preserve">nad-a001-02-000000279481529</t>
  </si>
  <si>
    <t xml:space="preserve">출입금지 입간판 표지판 조립식 사각 오뚜기</t>
  </si>
  <si>
    <r>
      <rPr>
        <sz val="10"/>
        <rFont val="Arial"/>
        <family val="0"/>
        <charset val="1"/>
      </rPr>
      <t xml:space="preserve">07 </t>
    </r>
    <r>
      <rPr>
        <sz val="10"/>
        <rFont val="DejaVu Sans"/>
        <family val="2"/>
      </rPr>
      <t xml:space="preserve">출입금지입간판</t>
    </r>
  </si>
  <si>
    <t xml:space="preserve">nad-a001-02-000000279481532</t>
  </si>
  <si>
    <t xml:space="preserve">청소중 출입금지 입간판 표지판 대형 오뚜기</t>
  </si>
  <si>
    <r>
      <rPr>
        <sz val="10"/>
        <rFont val="Arial"/>
        <family val="0"/>
        <charset val="1"/>
      </rPr>
      <t xml:space="preserve">08 </t>
    </r>
    <r>
      <rPr>
        <sz val="10"/>
        <rFont val="DejaVu Sans"/>
        <family val="2"/>
      </rPr>
      <t xml:space="preserve">청소중입간판</t>
    </r>
  </si>
  <si>
    <t xml:space="preserve">nad-a001-02-000000279666813</t>
  </si>
  <si>
    <t xml:space="preserve">사각 검정 주차 구역 오뚜기 주차금지 안내판</t>
  </si>
  <si>
    <r>
      <rPr>
        <sz val="10"/>
        <rFont val="Arial"/>
        <family val="0"/>
        <charset val="1"/>
      </rPr>
      <t xml:space="preserve">04 </t>
    </r>
    <r>
      <rPr>
        <sz val="10"/>
        <rFont val="DejaVu Sans"/>
        <family val="2"/>
      </rPr>
      <t xml:space="preserve">주차오뚜기</t>
    </r>
  </si>
  <si>
    <t xml:space="preserve">nad-a001-02-000000282097720</t>
  </si>
  <si>
    <t xml:space="preserve">주차장 관리 주차금지 진입금지 오뚜기 대형</t>
  </si>
  <si>
    <t xml:space="preserve">nad-a001-02-000000282097726</t>
  </si>
  <si>
    <t xml:space="preserve">주차금지 안내 양면 주차장 오뚜기 인쇄</t>
  </si>
  <si>
    <t xml:space="preserve">nad-a001-02-000000327103108</t>
  </si>
  <si>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매 럭셔리 메탈 주차스티커 큐방타입</t>
    </r>
  </si>
  <si>
    <t xml:space="preserve">nad-a001-02-000000284215277</t>
  </si>
  <si>
    <t xml:space="preserve">메탈 차량 주차증 아파트 럭셔리 주차스티커</t>
  </si>
  <si>
    <t xml:space="preserve">nad-a001-02-000000284215278</t>
  </si>
  <si>
    <r>
      <rPr>
        <sz val="10"/>
        <rFont val="DejaVu Sans"/>
        <family val="2"/>
      </rPr>
      <t xml:space="preserve">아파트 주차스티커 차량 빌라 주차증 </t>
    </r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매</t>
    </r>
  </si>
  <si>
    <t xml:space="preserve">nad-a001-02-000000284215280</t>
  </si>
  <si>
    <t xml:space="preserve">야광 아파트 입주민 주차증  주차스티커</t>
  </si>
  <si>
    <t xml:space="preserve">nad-a001-02-000000284215285</t>
  </si>
  <si>
    <t xml:space="preserve">아파트 주차스티커 반사지 주차카드 빌라 주차증</t>
  </si>
  <si>
    <t xml:space="preserve">nad-a001-02-000000282123154</t>
  </si>
  <si>
    <t xml:space="preserve">nad-a001-02-000000282123155</t>
  </si>
  <si>
    <t xml:space="preserve">아파트 주차스티커 차량 빌라 주차증 큐방형</t>
  </si>
  <si>
    <t xml:space="preserve">nad-a001-02-000000282123162</t>
  </si>
  <si>
    <t xml:space="preserve">아파트 주차 스티커 반사지 카드 빌라 주차증</t>
  </si>
  <si>
    <t xml:space="preserve">nad-a001-02-000000282123191</t>
  </si>
  <si>
    <t xml:space="preserve">홀로그램 아파트 주차스티커 입주민 주차카드</t>
  </si>
  <si>
    <t xml:space="preserve">nad-a001-01-000000286484303</t>
  </si>
  <si>
    <r>
      <rPr>
        <sz val="10"/>
        <rFont val="Arial"/>
        <family val="0"/>
        <charset val="1"/>
      </rPr>
      <t xml:space="preserve">{keyword:</t>
    </r>
    <r>
      <rPr>
        <sz val="10"/>
        <rFont val="DejaVu Sans"/>
        <family val="2"/>
      </rPr>
      <t xml:space="preserve">승강기게시판</t>
    </r>
    <r>
      <rPr>
        <sz val="10"/>
        <rFont val="Arial"/>
        <family val="0"/>
        <charset val="1"/>
      </rPr>
      <t xml:space="preserve">} </t>
    </r>
    <r>
      <rPr>
        <sz val="10"/>
        <rFont val="DejaVu Sans"/>
        <family val="2"/>
      </rPr>
      <t xml:space="preserve">전문 하나사인몰</t>
    </r>
  </si>
  <si>
    <r>
      <rPr>
        <sz val="10"/>
        <rFont val="Arial"/>
        <family val="0"/>
        <charset val="1"/>
      </rPr>
      <t xml:space="preserve">01 </t>
    </r>
    <r>
      <rPr>
        <sz val="10"/>
        <rFont val="DejaVu Sans"/>
        <family val="2"/>
      </rPr>
      <t xml:space="preserve">게시판</t>
    </r>
  </si>
  <si>
    <t xml:space="preserve">nad-a001-01-000000471647069</t>
  </si>
  <si>
    <t xml:space="preserve">nad-a001-01-000000472041046</t>
  </si>
  <si>
    <r>
      <rPr>
        <sz val="10"/>
        <rFont val="Arial"/>
        <family val="0"/>
        <charset val="1"/>
      </rPr>
      <t xml:space="preserve">{keyword:</t>
    </r>
    <r>
      <rPr>
        <sz val="10"/>
        <rFont val="DejaVu Sans"/>
        <family val="2"/>
      </rPr>
      <t xml:space="preserve">엘리베이터 게시판</t>
    </r>
    <r>
      <rPr>
        <sz val="10"/>
        <rFont val="Arial"/>
        <family val="0"/>
        <charset val="1"/>
      </rPr>
      <t xml:space="preserve">} </t>
    </r>
    <r>
      <rPr>
        <sz val="10"/>
        <rFont val="DejaVu Sans"/>
        <family val="2"/>
      </rPr>
      <t xml:space="preserve">하나사인몰</t>
    </r>
  </si>
  <si>
    <t xml:space="preserve">nad-a001-01-000000286506111</t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</si>
  <si>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형 입간판 </t>
    </r>
    <r>
      <rPr>
        <sz val="10"/>
        <rFont val="Arial"/>
        <family val="0"/>
        <charset val="1"/>
      </rPr>
      <t xml:space="preserve">{keyword:</t>
    </r>
    <r>
      <rPr>
        <sz val="10"/>
        <rFont val="DejaVu Sans"/>
        <family val="2"/>
      </rPr>
      <t xml:space="preserve">주차금지표지판</t>
    </r>
    <r>
      <rPr>
        <sz val="10"/>
        <rFont val="Arial"/>
        <family val="0"/>
        <charset val="1"/>
      </rPr>
      <t xml:space="preserve">}</t>
    </r>
  </si>
  <si>
    <r>
      <rPr>
        <sz val="10"/>
        <rFont val="Arial"/>
        <family val="0"/>
        <charset val="1"/>
      </rPr>
      <t xml:space="preserve">07 </t>
    </r>
    <r>
      <rPr>
        <sz val="10"/>
        <rFont val="DejaVu Sans"/>
        <family val="2"/>
      </rPr>
      <t xml:space="preserve">블랙 오뚜기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입간판</t>
    </r>
  </si>
  <si>
    <t xml:space="preserve">nad-a001-01-000000286503668</t>
  </si>
  <si>
    <r>
      <rPr>
        <sz val="10"/>
        <rFont val="Arial"/>
        <family val="0"/>
        <charset val="1"/>
      </rPr>
      <t xml:space="preserve">{keyword:</t>
    </r>
    <r>
      <rPr>
        <sz val="10"/>
        <rFont val="DejaVu Sans"/>
        <family val="2"/>
      </rPr>
      <t xml:space="preserve">주차금지</t>
    </r>
    <r>
      <rPr>
        <sz val="10"/>
        <rFont val="Arial"/>
        <family val="0"/>
        <charset val="1"/>
      </rPr>
      <t xml:space="preserve">}</t>
    </r>
    <r>
      <rPr>
        <sz val="10"/>
        <rFont val="DejaVu Sans"/>
        <family val="2"/>
      </rPr>
      <t xml:space="preserve">오뚜기 하나사인몰</t>
    </r>
  </si>
  <si>
    <t xml:space="preserve">nad-a001-01-000000159090406</t>
  </si>
  <si>
    <t xml:space="preserve">주차스티커 공장 하나사인몰</t>
  </si>
  <si>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주력</t>
    </r>
    <r>
      <rPr>
        <sz val="10"/>
        <rFont val="Arial"/>
        <family val="0"/>
        <charset val="1"/>
      </rPr>
      <t xml:space="preserve">]</t>
    </r>
    <r>
      <rPr>
        <sz val="10"/>
        <rFont val="DejaVu Sans"/>
        <family val="2"/>
      </rPr>
      <t xml:space="preserve">주차스티커</t>
    </r>
  </si>
  <si>
    <t xml:space="preserve">nad-a001-01-000000159086294</t>
  </si>
  <si>
    <t xml:space="preserve">nad-a001-01-000000286498270</t>
  </si>
  <si>
    <r>
      <rPr>
        <sz val="10"/>
        <rFont val="Arial"/>
        <family val="0"/>
        <charset val="1"/>
      </rPr>
      <t xml:space="preserve">{keyword:</t>
    </r>
    <r>
      <rPr>
        <sz val="10"/>
        <rFont val="DejaVu Sans"/>
        <family val="2"/>
      </rPr>
      <t xml:space="preserve">주차스티커제작</t>
    </r>
    <r>
      <rPr>
        <sz val="10"/>
        <rFont val="Arial"/>
        <family val="0"/>
        <charset val="1"/>
      </rPr>
      <t xml:space="preserve">} </t>
    </r>
    <r>
      <rPr>
        <sz val="10"/>
        <rFont val="DejaVu Sans"/>
        <family val="2"/>
      </rPr>
      <t xml:space="preserve">하나사인몰</t>
    </r>
  </si>
  <si>
    <r>
      <rPr>
        <sz val="10"/>
        <rFont val="Arial"/>
        <family val="0"/>
        <charset val="1"/>
      </rPr>
      <t xml:space="preserve">06 </t>
    </r>
    <r>
      <rPr>
        <sz val="10"/>
        <rFont val="DejaVu Sans"/>
        <family val="2"/>
      </rPr>
      <t xml:space="preserve">주차스티커</t>
    </r>
  </si>
  <si>
    <t xml:space="preserve">nad-a001-01-000000286498010</t>
  </si>
  <si>
    <r>
      <rPr>
        <sz val="10"/>
        <rFont val="Arial"/>
        <family val="0"/>
        <charset val="1"/>
      </rPr>
      <t xml:space="preserve">{keyword:</t>
    </r>
    <r>
      <rPr>
        <sz val="10"/>
        <rFont val="DejaVu Sans"/>
        <family val="2"/>
      </rPr>
      <t xml:space="preserve">차량 주차 스티커</t>
    </r>
    <r>
      <rPr>
        <sz val="10"/>
        <rFont val="Arial"/>
        <family val="0"/>
        <charset val="1"/>
      </rPr>
      <t xml:space="preserve">} </t>
    </r>
    <r>
      <rPr>
        <sz val="10"/>
        <rFont val="DejaVu Sans"/>
        <family val="2"/>
      </rPr>
      <t xml:space="preserve">하나사인몰</t>
    </r>
  </si>
  <si>
    <t xml:space="preserve">nad-a001-01-000000286492305</t>
  </si>
  <si>
    <r>
      <rPr>
        <sz val="10"/>
        <rFont val="DejaVu Sans"/>
        <family val="2"/>
      </rPr>
      <t xml:space="preserve">아파트 </t>
    </r>
    <r>
      <rPr>
        <sz val="10"/>
        <rFont val="Arial"/>
        <family val="0"/>
        <charset val="1"/>
      </rPr>
      <t xml:space="preserve">{keyword:</t>
    </r>
    <r>
      <rPr>
        <sz val="10"/>
        <rFont val="DejaVu Sans"/>
        <family val="2"/>
      </rPr>
      <t xml:space="preserve">주차스티커</t>
    </r>
    <r>
      <rPr>
        <sz val="10"/>
        <rFont val="Arial"/>
        <family val="0"/>
        <charset val="1"/>
      </rPr>
      <t xml:space="preserve">} </t>
    </r>
    <r>
      <rPr>
        <sz val="10"/>
        <rFont val="DejaVu Sans"/>
        <family val="2"/>
      </rPr>
      <t xml:space="preserve">하나사인몰</t>
    </r>
  </si>
  <si>
    <t xml:space="preserve">nad-a001-01-000000286491015</t>
  </si>
  <si>
    <r>
      <rPr>
        <sz val="10"/>
        <rFont val="Arial"/>
        <family val="0"/>
        <charset val="1"/>
      </rPr>
      <t xml:space="preserve">{keyword:</t>
    </r>
    <r>
      <rPr>
        <sz val="10"/>
        <rFont val="DejaVu Sans"/>
        <family val="2"/>
      </rPr>
      <t xml:space="preserve">아파트 주차스티커</t>
    </r>
    <r>
      <rPr>
        <sz val="10"/>
        <rFont val="Arial"/>
        <family val="0"/>
        <charset val="1"/>
      </rPr>
      <t xml:space="preserve">} </t>
    </r>
    <r>
      <rPr>
        <sz val="10"/>
        <rFont val="DejaVu Sans"/>
        <family val="2"/>
      </rPr>
      <t xml:space="preserve">하나사인몰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</si>
</sst>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DejaVu Sans"/>
      <family val="2"/>
    </font>
    <font>
      <b val="true"/>
      <sz val="12"/>
      <name val="Arial"/>
      <family val="0"/>
      <charset val="1"/>
    </font>
    <font>
      <i val="true"/>
      <sz val="9"/>
      <color rgb="FF666666"/>
      <name val="DejaVu Sans"/>
      <family val="2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F2F2F2"/>
        <bgColor rgb="FFFFFFFF"/>
      </patternFill>
    </fill>
    <fill>
      <patternFill patternType="solid">
        <fgColor rgb="FFFFD966"/>
        <bgColor rgb="FFFFE699"/>
      </patternFill>
    </fill>
    <fill>
      <patternFill patternType="solid">
        <fgColor rgb="FFFFE699"/>
        <bgColor rgb="FFFFD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D966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s">
        <v>11</v>
      </c>
      <c r="C5" s="5" t="s">
        <v>12</v>
      </c>
      <c r="D5" s="6" t="n">
        <v>0</v>
      </c>
      <c r="E5" s="6" t="n">
        <v>0</v>
      </c>
      <c r="F5" s="6" t="n">
        <f aca="false">IFERROR(ROUND(D5/E5,0),0)</f>
        <v>0</v>
      </c>
      <c r="G5" s="7" t="n">
        <v>0</v>
      </c>
      <c r="H5" s="6" t="n">
        <v>0</v>
      </c>
    </row>
    <row r="6" customFormat="false" ht="15" hidden="false" customHeight="false" outlineLevel="0" collapsed="false">
      <c r="A6" s="8" t="s">
        <v>10</v>
      </c>
      <c r="B6" s="9" t="s">
        <v>13</v>
      </c>
      <c r="C6" s="9" t="s">
        <v>12</v>
      </c>
      <c r="D6" s="10" t="n">
        <v>234749</v>
      </c>
      <c r="E6" s="10" t="n">
        <v>185</v>
      </c>
      <c r="F6" s="10" t="n">
        <f aca="false">IFERROR(ROUND(D6/E6,0),0)</f>
        <v>1269</v>
      </c>
      <c r="G6" s="11" t="n">
        <v>9</v>
      </c>
      <c r="H6" s="10" t="n">
        <v>44757</v>
      </c>
    </row>
    <row r="7" customFormat="false" ht="15" hidden="false" customHeight="false" outlineLevel="0" collapsed="false">
      <c r="A7" s="4" t="s">
        <v>10</v>
      </c>
      <c r="B7" s="5" t="s">
        <v>11</v>
      </c>
      <c r="C7" s="4" t="s">
        <v>14</v>
      </c>
      <c r="D7" s="6" t="n">
        <v>0</v>
      </c>
      <c r="E7" s="6" t="n">
        <v>0</v>
      </c>
      <c r="F7" s="6" t="n">
        <f aca="false">IFERROR(ROUND(D7/E7,0),0)</f>
        <v>0</v>
      </c>
      <c r="G7" s="7" t="n">
        <v>0</v>
      </c>
      <c r="H7" s="6" t="n">
        <v>0</v>
      </c>
    </row>
    <row r="8" customFormat="false" ht="15" hidden="false" customHeight="false" outlineLevel="0" collapsed="false">
      <c r="A8" s="8" t="s">
        <v>10</v>
      </c>
      <c r="B8" s="9" t="s">
        <v>13</v>
      </c>
      <c r="C8" s="8" t="s">
        <v>14</v>
      </c>
      <c r="D8" s="10" t="n">
        <v>1119204</v>
      </c>
      <c r="E8" s="10" t="n">
        <v>658</v>
      </c>
      <c r="F8" s="10" t="n">
        <f aca="false">IFERROR(ROUND(D8/E8,0),0)</f>
        <v>1701</v>
      </c>
      <c r="G8" s="11" t="n">
        <v>17</v>
      </c>
      <c r="H8" s="10" t="n">
        <v>86800</v>
      </c>
    </row>
    <row r="9" customFormat="false" ht="15" hidden="false" customHeight="false" outlineLevel="0" collapsed="false">
      <c r="A9" s="4" t="s">
        <v>10</v>
      </c>
      <c r="B9" s="5" t="s">
        <v>11</v>
      </c>
      <c r="C9" s="5" t="s">
        <v>15</v>
      </c>
      <c r="D9" s="6" t="n">
        <v>0</v>
      </c>
      <c r="E9" s="6" t="n">
        <v>0</v>
      </c>
      <c r="F9" s="6" t="n">
        <f aca="false">IFERROR(ROUND(D9/E9,0),0)</f>
        <v>0</v>
      </c>
      <c r="G9" s="7" t="n">
        <v>0</v>
      </c>
      <c r="H9" s="6" t="n">
        <v>0</v>
      </c>
    </row>
    <row r="10" customFormat="false" ht="15" hidden="false" customHeight="false" outlineLevel="0" collapsed="false">
      <c r="A10" s="8" t="s">
        <v>10</v>
      </c>
      <c r="B10" s="9" t="s">
        <v>13</v>
      </c>
      <c r="C10" s="9" t="s">
        <v>15</v>
      </c>
      <c r="D10" s="10" t="n">
        <v>87840</v>
      </c>
      <c r="E10" s="10" t="n">
        <v>74</v>
      </c>
      <c r="F10" s="10" t="n">
        <f aca="false">IFERROR(ROUND(D10/E10,0),0)</f>
        <v>1187</v>
      </c>
      <c r="G10" s="11" t="n">
        <v>10</v>
      </c>
      <c r="H10" s="10" t="n">
        <v>7885</v>
      </c>
    </row>
    <row r="11" customFormat="false" ht="15" hidden="false" customHeight="false" outlineLevel="0" collapsed="false">
      <c r="A11" s="4" t="s">
        <v>10</v>
      </c>
      <c r="B11" s="5" t="s">
        <v>11</v>
      </c>
      <c r="C11" s="5" t="s">
        <v>16</v>
      </c>
      <c r="D11" s="6" t="n">
        <v>0</v>
      </c>
      <c r="E11" s="6" t="n">
        <v>0</v>
      </c>
      <c r="F11" s="6" t="n">
        <f aca="false">IFERROR(ROUND(D11/E11,0),0)</f>
        <v>0</v>
      </c>
      <c r="G11" s="7" t="n">
        <v>0</v>
      </c>
      <c r="H11" s="6" t="n">
        <v>0</v>
      </c>
    </row>
    <row r="12" customFormat="false" ht="15" hidden="false" customHeight="false" outlineLevel="0" collapsed="false">
      <c r="A12" s="8" t="s">
        <v>10</v>
      </c>
      <c r="B12" s="9" t="s">
        <v>13</v>
      </c>
      <c r="C12" s="9" t="s">
        <v>16</v>
      </c>
      <c r="D12" s="10" t="n">
        <v>418274</v>
      </c>
      <c r="E12" s="10" t="n">
        <v>402</v>
      </c>
      <c r="F12" s="10" t="n">
        <f aca="false">IFERROR(ROUND(D12/E12,0),0)</f>
        <v>1040</v>
      </c>
      <c r="G12" s="11" t="n">
        <v>9</v>
      </c>
      <c r="H12" s="10" t="n">
        <v>143557</v>
      </c>
    </row>
    <row r="13" customFormat="false" ht="15" hidden="false" customHeight="false" outlineLevel="0" collapsed="false">
      <c r="A13" s="8" t="s">
        <v>17</v>
      </c>
      <c r="B13" s="9" t="s">
        <v>11</v>
      </c>
      <c r="C13" s="9" t="s">
        <v>12</v>
      </c>
      <c r="D13" s="10" t="n">
        <v>2688119</v>
      </c>
      <c r="E13" s="10" t="n">
        <v>2215</v>
      </c>
      <c r="F13" s="10" t="n">
        <f aca="false">IFERROR(ROUND(D13/E13,0),0)</f>
        <v>1214</v>
      </c>
      <c r="G13" s="11" t="n">
        <v>3</v>
      </c>
      <c r="H13" s="10" t="n">
        <v>716650</v>
      </c>
    </row>
    <row r="14" customFormat="false" ht="15" hidden="false" customHeight="false" outlineLevel="0" collapsed="false">
      <c r="A14" s="4" t="s">
        <v>17</v>
      </c>
      <c r="B14" s="5" t="s">
        <v>13</v>
      </c>
      <c r="C14" s="5" t="s">
        <v>12</v>
      </c>
      <c r="D14" s="6" t="n">
        <v>0</v>
      </c>
      <c r="E14" s="6" t="n">
        <v>0</v>
      </c>
      <c r="F14" s="6" t="n">
        <f aca="false">IFERROR(ROUND(D14/E14,0),0)</f>
        <v>0</v>
      </c>
      <c r="G14" s="7" t="n">
        <v>0</v>
      </c>
      <c r="H14" s="6" t="n">
        <v>0</v>
      </c>
    </row>
    <row r="15" customFormat="false" ht="15" hidden="false" customHeight="false" outlineLevel="0" collapsed="false">
      <c r="A15" s="8" t="s">
        <v>17</v>
      </c>
      <c r="B15" s="9" t="s">
        <v>11</v>
      </c>
      <c r="C15" s="8" t="s">
        <v>14</v>
      </c>
      <c r="D15" s="10" t="n">
        <v>707908</v>
      </c>
      <c r="E15" s="10" t="n">
        <v>980</v>
      </c>
      <c r="F15" s="10" t="n">
        <f aca="false">IFERROR(ROUND(D15/E15,0),0)</f>
        <v>722</v>
      </c>
      <c r="G15" s="11" t="n">
        <v>1</v>
      </c>
      <c r="H15" s="10" t="n">
        <v>77206</v>
      </c>
    </row>
    <row r="16" customFormat="false" ht="15" hidden="false" customHeight="false" outlineLevel="0" collapsed="false">
      <c r="A16" s="4" t="s">
        <v>17</v>
      </c>
      <c r="B16" s="5" t="s">
        <v>13</v>
      </c>
      <c r="C16" s="4" t="s">
        <v>14</v>
      </c>
      <c r="D16" s="6" t="n">
        <v>0</v>
      </c>
      <c r="E16" s="6" t="n">
        <v>0</v>
      </c>
      <c r="F16" s="6" t="n">
        <f aca="false">IFERROR(ROUND(D16/E16,0),0)</f>
        <v>0</v>
      </c>
      <c r="G16" s="7" t="n">
        <v>0</v>
      </c>
      <c r="H16" s="6" t="n">
        <v>0</v>
      </c>
    </row>
    <row r="17" customFormat="false" ht="15" hidden="false" customHeight="false" outlineLevel="0" collapsed="false">
      <c r="A17" s="8" t="s">
        <v>17</v>
      </c>
      <c r="B17" s="9" t="s">
        <v>11</v>
      </c>
      <c r="C17" s="9" t="s">
        <v>15</v>
      </c>
      <c r="D17" s="10" t="n">
        <v>9172</v>
      </c>
      <c r="E17" s="10" t="n">
        <v>14</v>
      </c>
      <c r="F17" s="10" t="n">
        <f aca="false">IFERROR(ROUND(D17/E17,0),0)</f>
        <v>655</v>
      </c>
      <c r="G17" s="11" t="n">
        <v>1</v>
      </c>
      <c r="H17" s="10" t="n">
        <v>1074</v>
      </c>
    </row>
    <row r="18" customFormat="false" ht="15" hidden="false" customHeight="false" outlineLevel="0" collapsed="false">
      <c r="A18" s="4" t="s">
        <v>17</v>
      </c>
      <c r="B18" s="5" t="s">
        <v>13</v>
      </c>
      <c r="C18" s="5" t="s">
        <v>15</v>
      </c>
      <c r="D18" s="6" t="n">
        <v>0</v>
      </c>
      <c r="E18" s="6" t="n">
        <v>0</v>
      </c>
      <c r="F18" s="6" t="n">
        <f aca="false">IFERROR(ROUND(D18/E18,0),0)</f>
        <v>0</v>
      </c>
      <c r="G18" s="7" t="n">
        <v>0</v>
      </c>
      <c r="H18" s="6" t="n">
        <v>0</v>
      </c>
    </row>
    <row r="19" customFormat="false" ht="15" hidden="false" customHeight="false" outlineLevel="0" collapsed="false">
      <c r="A19" s="8" t="s">
        <v>17</v>
      </c>
      <c r="B19" s="9" t="s">
        <v>11</v>
      </c>
      <c r="C19" s="9" t="s">
        <v>16</v>
      </c>
      <c r="D19" s="10" t="n">
        <v>907256</v>
      </c>
      <c r="E19" s="10" t="n">
        <v>460</v>
      </c>
      <c r="F19" s="10" t="n">
        <f aca="false">IFERROR(ROUND(D19/E19,0),0)</f>
        <v>1972</v>
      </c>
      <c r="G19" s="11" t="n">
        <v>6</v>
      </c>
      <c r="H19" s="10" t="n">
        <v>31385</v>
      </c>
    </row>
    <row r="20" customFormat="false" ht="15" hidden="false" customHeight="false" outlineLevel="0" collapsed="false">
      <c r="A20" s="4" t="s">
        <v>17</v>
      </c>
      <c r="B20" s="5" t="s">
        <v>13</v>
      </c>
      <c r="C20" s="5" t="s">
        <v>16</v>
      </c>
      <c r="D20" s="6" t="n">
        <v>0</v>
      </c>
      <c r="E20" s="6" t="n">
        <v>0</v>
      </c>
      <c r="F20" s="6" t="n">
        <f aca="false">IFERROR(ROUND(D20/E20,0),0)</f>
        <v>0</v>
      </c>
      <c r="G20" s="7" t="n">
        <v>0</v>
      </c>
      <c r="H20" s="6" t="n">
        <v>0</v>
      </c>
    </row>
    <row r="21" customFormat="false" ht="15" hidden="false" customHeight="false" outlineLevel="0" collapsed="false">
      <c r="A21" s="12" t="s">
        <v>18</v>
      </c>
      <c r="B21" s="12"/>
      <c r="C21" s="12"/>
      <c r="D21" s="13" t="n">
        <f aca="false">SUM(D5:D20)</f>
        <v>6172522</v>
      </c>
      <c r="E21" s="13" t="n">
        <f aca="false">SUM(E5:E20)</f>
        <v>4988</v>
      </c>
      <c r="F21" s="13" t="n">
        <f aca="false">IFERROR(ROUND(D21/E21,0),0)</f>
        <v>1237</v>
      </c>
      <c r="G21" s="14" t="n">
        <f aca="false">SUM(G5:G20)</f>
        <v>56</v>
      </c>
      <c r="H21" s="13" t="n">
        <f aca="false">SUM(H5:H20)</f>
        <v>1109314</v>
      </c>
    </row>
    <row r="23" customFormat="false" ht="15" hidden="false" customHeight="false" outlineLevel="0" collapsed="false">
      <c r="A23" s="1" t="s">
        <v>19</v>
      </c>
      <c r="B23" s="1"/>
      <c r="C23" s="1"/>
      <c r="D23" s="1"/>
      <c r="E23" s="1"/>
      <c r="F23" s="1"/>
      <c r="G23" s="1"/>
      <c r="H23" s="1"/>
    </row>
    <row r="24" customFormat="false" ht="15" hidden="false" customHeight="false" outlineLevel="0" collapsed="false">
      <c r="A24" s="3" t="s">
        <v>4</v>
      </c>
      <c r="B24" s="3" t="s">
        <v>5</v>
      </c>
      <c r="C24" s="3" t="s">
        <v>6</v>
      </c>
      <c r="D24" s="3" t="s">
        <v>7</v>
      </c>
      <c r="E24" s="3" t="s">
        <v>8</v>
      </c>
    </row>
    <row r="25" customFormat="false" ht="15" hidden="false" customHeight="false" outlineLevel="0" collapsed="false">
      <c r="A25" s="9" t="s">
        <v>12</v>
      </c>
      <c r="B25" s="10" t="n">
        <f aca="false">SUMIFS(D5:D20,C5:C20,A25)</f>
        <v>2922868</v>
      </c>
      <c r="C25" s="10" t="n">
        <f aca="false">SUMIFS(E5:E20,C5:C20,A25)</f>
        <v>2400</v>
      </c>
      <c r="D25" s="10" t="n">
        <f aca="false">IFERROR(ROUND(B25/C25,0),0)</f>
        <v>1218</v>
      </c>
      <c r="E25" s="15" t="n">
        <f aca="false">SUMIFS(G5:G20,C5:C20,A25)</f>
        <v>12</v>
      </c>
    </row>
    <row r="26" customFormat="false" ht="15" hidden="false" customHeight="false" outlineLevel="0" collapsed="false">
      <c r="A26" s="8" t="s">
        <v>14</v>
      </c>
      <c r="B26" s="10" t="n">
        <f aca="false">SUMIFS(D5:D20,C5:C20,A26)</f>
        <v>1827112</v>
      </c>
      <c r="C26" s="10" t="n">
        <f aca="false">SUMIFS(E5:E20,C5:C20,A26)</f>
        <v>1638</v>
      </c>
      <c r="D26" s="10" t="n">
        <f aca="false">IFERROR(ROUND(B26/C26,0),0)</f>
        <v>1115</v>
      </c>
      <c r="E26" s="15" t="n">
        <f aca="false">SUMIFS(G5:G20,C5:C20,A26)</f>
        <v>18</v>
      </c>
    </row>
    <row r="27" customFormat="false" ht="15" hidden="false" customHeight="false" outlineLevel="0" collapsed="false">
      <c r="A27" s="9" t="s">
        <v>15</v>
      </c>
      <c r="B27" s="10" t="n">
        <f aca="false">SUMIFS(D5:D20,C5:C20,A27)</f>
        <v>97012</v>
      </c>
      <c r="C27" s="10" t="n">
        <f aca="false">SUMIFS(E5:E20,C5:C20,A27)</f>
        <v>88</v>
      </c>
      <c r="D27" s="10" t="n">
        <f aca="false">IFERROR(ROUND(B27/C27,0),0)</f>
        <v>1102</v>
      </c>
      <c r="E27" s="15" t="n">
        <f aca="false">SUMIFS(G5:G20,C5:C20,A27)</f>
        <v>11</v>
      </c>
    </row>
    <row r="28" customFormat="false" ht="15" hidden="false" customHeight="false" outlineLevel="0" collapsed="false">
      <c r="A28" s="9" t="s">
        <v>16</v>
      </c>
      <c r="B28" s="10" t="n">
        <f aca="false">SUMIFS(D5:D20,C5:C20,A28)</f>
        <v>1325530</v>
      </c>
      <c r="C28" s="10" t="n">
        <f aca="false">SUMIFS(E5:E20,C5:C20,A28)</f>
        <v>862</v>
      </c>
      <c r="D28" s="10" t="n">
        <f aca="false">IFERROR(ROUND(B28/C28,0),0)</f>
        <v>1538</v>
      </c>
      <c r="E28" s="15" t="n">
        <f aca="false">SUMIFS(G5:G20,C5:C20,A28)</f>
        <v>15</v>
      </c>
    </row>
    <row r="29" customFormat="false" ht="15" hidden="false" customHeight="false" outlineLevel="0" collapsed="false">
      <c r="A29" s="16" t="s">
        <v>20</v>
      </c>
      <c r="B29" s="13" t="n">
        <f aca="false">SUM(B25:B28)</f>
        <v>6172522</v>
      </c>
      <c r="C29" s="13" t="n">
        <f aca="false">SUM(C25:C28)</f>
        <v>4988</v>
      </c>
      <c r="D29" s="13" t="n">
        <f aca="false">IFERROR(ROUND(B29/C29,0),0)</f>
        <v>1237</v>
      </c>
      <c r="E29" s="14" t="n">
        <f aca="false">SUM(E25:E28)</f>
        <v>56</v>
      </c>
    </row>
  </sheetData>
  <mergeCells count="4">
    <mergeCell ref="A1:H1"/>
    <mergeCell ref="A2:H2"/>
    <mergeCell ref="A21:C21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28"/>
    <col collapsed="false" customWidth="true" hidden="false" outlineLevel="0" max="5" min="5" style="0" width="10"/>
    <col collapsed="false" customWidth="true" hidden="false" outlineLevel="0" max="6" min="6" style="0" width="60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1" t="s">
        <v>21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3" t="s">
        <v>4</v>
      </c>
      <c r="B3" s="3" t="s">
        <v>2</v>
      </c>
      <c r="C3" s="3" t="s">
        <v>3</v>
      </c>
      <c r="D3" s="3" t="s">
        <v>22</v>
      </c>
      <c r="E3" s="3" t="s">
        <v>23</v>
      </c>
      <c r="F3" s="3" t="s">
        <v>24</v>
      </c>
      <c r="G3" s="3" t="s">
        <v>25</v>
      </c>
    </row>
    <row r="4" customFormat="false" ht="15" hidden="false" customHeight="false" outlineLevel="0" collapsed="false">
      <c r="A4" s="17" t="s">
        <v>12</v>
      </c>
      <c r="B4" s="8" t="s">
        <v>10</v>
      </c>
      <c r="C4" s="9" t="s">
        <v>13</v>
      </c>
      <c r="D4" s="18" t="s">
        <v>26</v>
      </c>
      <c r="E4" s="8" t="s">
        <v>27</v>
      </c>
      <c r="F4" s="19" t="s">
        <v>28</v>
      </c>
      <c r="G4" s="20" t="s">
        <v>12</v>
      </c>
    </row>
    <row r="5" customFormat="false" ht="15" hidden="false" customHeight="false" outlineLevel="0" collapsed="false">
      <c r="A5" s="21"/>
      <c r="B5" s="8" t="s">
        <v>10</v>
      </c>
      <c r="C5" s="9" t="s">
        <v>13</v>
      </c>
      <c r="D5" s="18" t="s">
        <v>29</v>
      </c>
      <c r="E5" s="8" t="s">
        <v>27</v>
      </c>
      <c r="F5" s="19" t="s">
        <v>30</v>
      </c>
      <c r="G5" s="20" t="s">
        <v>12</v>
      </c>
    </row>
    <row r="6" customFormat="false" ht="15" hidden="false" customHeight="false" outlineLevel="0" collapsed="false">
      <c r="A6" s="21"/>
      <c r="B6" s="8" t="s">
        <v>10</v>
      </c>
      <c r="C6" s="9" t="s">
        <v>13</v>
      </c>
      <c r="D6" s="18" t="s">
        <v>31</v>
      </c>
      <c r="E6" s="8" t="s">
        <v>27</v>
      </c>
      <c r="F6" s="19" t="s">
        <v>32</v>
      </c>
      <c r="G6" s="20" t="s">
        <v>12</v>
      </c>
    </row>
    <row r="7" customFormat="false" ht="15" hidden="false" customHeight="false" outlineLevel="0" collapsed="false">
      <c r="A7" s="21"/>
      <c r="B7" s="8" t="s">
        <v>10</v>
      </c>
      <c r="C7" s="9" t="s">
        <v>13</v>
      </c>
      <c r="D7" s="18" t="s">
        <v>33</v>
      </c>
      <c r="E7" s="8" t="s">
        <v>27</v>
      </c>
      <c r="F7" s="19" t="s">
        <v>34</v>
      </c>
      <c r="G7" s="18" t="s">
        <v>35</v>
      </c>
    </row>
    <row r="8" customFormat="false" ht="15" hidden="false" customHeight="false" outlineLevel="0" collapsed="false">
      <c r="A8" s="21"/>
      <c r="B8" s="8" t="s">
        <v>10</v>
      </c>
      <c r="C8" s="9" t="s">
        <v>13</v>
      </c>
      <c r="D8" s="18" t="s">
        <v>36</v>
      </c>
      <c r="E8" s="8" t="s">
        <v>27</v>
      </c>
      <c r="F8" s="19" t="s">
        <v>37</v>
      </c>
      <c r="G8" s="18" t="s">
        <v>38</v>
      </c>
    </row>
    <row r="9" customFormat="false" ht="15" hidden="false" customHeight="false" outlineLevel="0" collapsed="false">
      <c r="A9" s="21"/>
      <c r="B9" s="8" t="s">
        <v>10</v>
      </c>
      <c r="C9" s="9" t="s">
        <v>13</v>
      </c>
      <c r="D9" s="18" t="s">
        <v>39</v>
      </c>
      <c r="E9" s="8" t="s">
        <v>27</v>
      </c>
      <c r="F9" s="19" t="s">
        <v>40</v>
      </c>
      <c r="G9" s="18" t="s">
        <v>38</v>
      </c>
    </row>
    <row r="10" customFormat="false" ht="15" hidden="false" customHeight="false" outlineLevel="0" collapsed="false">
      <c r="A10" s="21"/>
      <c r="B10" s="8" t="s">
        <v>10</v>
      </c>
      <c r="C10" s="9" t="s">
        <v>13</v>
      </c>
      <c r="D10" s="18" t="s">
        <v>41</v>
      </c>
      <c r="E10" s="8" t="s">
        <v>27</v>
      </c>
      <c r="F10" s="19" t="s">
        <v>42</v>
      </c>
      <c r="G10" s="18" t="s">
        <v>43</v>
      </c>
    </row>
    <row r="11" customFormat="false" ht="15" hidden="false" customHeight="false" outlineLevel="0" collapsed="false">
      <c r="A11" s="21"/>
      <c r="B11" s="8" t="s">
        <v>10</v>
      </c>
      <c r="C11" s="9" t="s">
        <v>13</v>
      </c>
      <c r="D11" s="18" t="s">
        <v>44</v>
      </c>
      <c r="E11" s="8" t="s">
        <v>27</v>
      </c>
      <c r="F11" s="19" t="s">
        <v>45</v>
      </c>
      <c r="G11" s="18" t="s">
        <v>46</v>
      </c>
    </row>
    <row r="12" customFormat="false" ht="15" hidden="false" customHeight="false" outlineLevel="0" collapsed="false">
      <c r="A12" s="21"/>
      <c r="B12" s="8" t="s">
        <v>10</v>
      </c>
      <c r="C12" s="9" t="s">
        <v>13</v>
      </c>
      <c r="D12" s="18" t="s">
        <v>47</v>
      </c>
      <c r="E12" s="8" t="s">
        <v>27</v>
      </c>
      <c r="F12" s="19" t="s">
        <v>42</v>
      </c>
      <c r="G12" s="18" t="s">
        <v>48</v>
      </c>
    </row>
    <row r="14" customFormat="false" ht="15" hidden="false" customHeight="false" outlineLevel="0" collapsed="false">
      <c r="A14" s="22" t="s">
        <v>49</v>
      </c>
      <c r="B14" s="8" t="s">
        <v>10</v>
      </c>
      <c r="C14" s="9" t="s">
        <v>13</v>
      </c>
      <c r="D14" s="18" t="s">
        <v>50</v>
      </c>
      <c r="E14" s="8" t="s">
        <v>27</v>
      </c>
      <c r="F14" s="19" t="s">
        <v>51</v>
      </c>
      <c r="G14" s="18" t="s">
        <v>52</v>
      </c>
    </row>
    <row r="15" customFormat="false" ht="15" hidden="false" customHeight="false" outlineLevel="0" collapsed="false">
      <c r="A15" s="21"/>
      <c r="B15" s="8" t="s">
        <v>10</v>
      </c>
      <c r="C15" s="9" t="s">
        <v>13</v>
      </c>
      <c r="D15" s="18" t="s">
        <v>53</v>
      </c>
      <c r="E15" s="8" t="s">
        <v>27</v>
      </c>
      <c r="F15" s="23" t="s">
        <v>54</v>
      </c>
      <c r="G15" s="20" t="s">
        <v>55</v>
      </c>
    </row>
    <row r="16" customFormat="false" ht="15" hidden="false" customHeight="false" outlineLevel="0" collapsed="false">
      <c r="A16" s="21"/>
      <c r="B16" s="8" t="s">
        <v>10</v>
      </c>
      <c r="C16" s="9" t="s">
        <v>13</v>
      </c>
      <c r="D16" s="18" t="s">
        <v>56</v>
      </c>
      <c r="E16" s="8" t="s">
        <v>27</v>
      </c>
      <c r="F16" s="19" t="s">
        <v>57</v>
      </c>
      <c r="G16" s="20" t="s">
        <v>58</v>
      </c>
    </row>
    <row r="17" customFormat="false" ht="15" hidden="false" customHeight="false" outlineLevel="0" collapsed="false">
      <c r="A17" s="21"/>
      <c r="B17" s="8" t="s">
        <v>10</v>
      </c>
      <c r="C17" s="9" t="s">
        <v>13</v>
      </c>
      <c r="D17" s="18" t="s">
        <v>59</v>
      </c>
      <c r="E17" s="8" t="s">
        <v>27</v>
      </c>
      <c r="F17" s="19" t="s">
        <v>60</v>
      </c>
      <c r="G17" s="20" t="s">
        <v>58</v>
      </c>
    </row>
    <row r="18" customFormat="false" ht="15" hidden="false" customHeight="false" outlineLevel="0" collapsed="false">
      <c r="A18" s="21"/>
      <c r="B18" s="8" t="s">
        <v>10</v>
      </c>
      <c r="C18" s="9" t="s">
        <v>13</v>
      </c>
      <c r="D18" s="18" t="s">
        <v>61</v>
      </c>
      <c r="E18" s="8" t="s">
        <v>27</v>
      </c>
      <c r="F18" s="19" t="s">
        <v>62</v>
      </c>
      <c r="G18" s="20" t="s">
        <v>58</v>
      </c>
    </row>
    <row r="19" customFormat="false" ht="15" hidden="false" customHeight="false" outlineLevel="0" collapsed="false">
      <c r="A19" s="21"/>
      <c r="B19" s="8" t="s">
        <v>10</v>
      </c>
      <c r="C19" s="9" t="s">
        <v>13</v>
      </c>
      <c r="D19" s="18" t="s">
        <v>63</v>
      </c>
      <c r="E19" s="8" t="s">
        <v>27</v>
      </c>
      <c r="F19" s="19" t="s">
        <v>64</v>
      </c>
      <c r="G19" s="20" t="s">
        <v>58</v>
      </c>
    </row>
    <row r="20" customFormat="false" ht="15" hidden="false" customHeight="false" outlineLevel="0" collapsed="false">
      <c r="A20" s="21"/>
      <c r="B20" s="8" t="s">
        <v>10</v>
      </c>
      <c r="C20" s="9" t="s">
        <v>13</v>
      </c>
      <c r="D20" s="18" t="s">
        <v>65</v>
      </c>
      <c r="E20" s="8" t="s">
        <v>27</v>
      </c>
      <c r="F20" s="19" t="s">
        <v>51</v>
      </c>
      <c r="G20" s="18" t="s">
        <v>66</v>
      </c>
    </row>
    <row r="21" customFormat="false" ht="15" hidden="false" customHeight="false" outlineLevel="0" collapsed="false">
      <c r="A21" s="21"/>
      <c r="B21" s="8" t="s">
        <v>10</v>
      </c>
      <c r="C21" s="9" t="s">
        <v>13</v>
      </c>
      <c r="D21" s="18" t="s">
        <v>67</v>
      </c>
      <c r="E21" s="8" t="s">
        <v>27</v>
      </c>
      <c r="F21" s="19" t="s">
        <v>68</v>
      </c>
      <c r="G21" s="18" t="s">
        <v>69</v>
      </c>
    </row>
    <row r="22" customFormat="false" ht="15" hidden="false" customHeight="false" outlineLevel="0" collapsed="false">
      <c r="A22" s="21"/>
      <c r="B22" s="8" t="s">
        <v>10</v>
      </c>
      <c r="C22" s="9" t="s">
        <v>13</v>
      </c>
      <c r="D22" s="18" t="s">
        <v>70</v>
      </c>
      <c r="E22" s="8" t="s">
        <v>27</v>
      </c>
      <c r="F22" s="23" t="s">
        <v>71</v>
      </c>
      <c r="G22" s="18" t="s">
        <v>35</v>
      </c>
    </row>
    <row r="23" customFormat="false" ht="15" hidden="false" customHeight="false" outlineLevel="0" collapsed="false">
      <c r="A23" s="21"/>
      <c r="B23" s="8" t="s">
        <v>10</v>
      </c>
      <c r="C23" s="9" t="s">
        <v>13</v>
      </c>
      <c r="D23" s="18" t="s">
        <v>72</v>
      </c>
      <c r="E23" s="8" t="s">
        <v>27</v>
      </c>
      <c r="F23" s="19" t="s">
        <v>73</v>
      </c>
      <c r="G23" s="18" t="s">
        <v>74</v>
      </c>
    </row>
    <row r="24" customFormat="false" ht="15" hidden="false" customHeight="false" outlineLevel="0" collapsed="false">
      <c r="A24" s="21"/>
      <c r="B24" s="8" t="s">
        <v>10</v>
      </c>
      <c r="C24" s="9" t="s">
        <v>13</v>
      </c>
      <c r="D24" s="18" t="s">
        <v>75</v>
      </c>
      <c r="E24" s="8" t="s">
        <v>27</v>
      </c>
      <c r="F24" s="19" t="s">
        <v>76</v>
      </c>
      <c r="G24" s="18" t="s">
        <v>77</v>
      </c>
    </row>
    <row r="25" customFormat="false" ht="15" hidden="false" customHeight="false" outlineLevel="0" collapsed="false">
      <c r="A25" s="21"/>
      <c r="B25" s="8" t="s">
        <v>10</v>
      </c>
      <c r="C25" s="9" t="s">
        <v>13</v>
      </c>
      <c r="D25" s="18" t="s">
        <v>78</v>
      </c>
      <c r="E25" s="8" t="s">
        <v>27</v>
      </c>
      <c r="F25" s="19" t="s">
        <v>79</v>
      </c>
      <c r="G25" s="18" t="s">
        <v>80</v>
      </c>
    </row>
    <row r="26" customFormat="false" ht="15" hidden="false" customHeight="false" outlineLevel="0" collapsed="false">
      <c r="A26" s="21"/>
      <c r="B26" s="8" t="s">
        <v>10</v>
      </c>
      <c r="C26" s="9" t="s">
        <v>13</v>
      </c>
      <c r="D26" s="18" t="s">
        <v>81</v>
      </c>
      <c r="E26" s="8" t="s">
        <v>27</v>
      </c>
      <c r="F26" s="19" t="s">
        <v>57</v>
      </c>
      <c r="G26" s="20" t="s">
        <v>58</v>
      </c>
    </row>
    <row r="27" customFormat="false" ht="15" hidden="false" customHeight="false" outlineLevel="0" collapsed="false">
      <c r="A27" s="21"/>
      <c r="B27" s="8" t="s">
        <v>10</v>
      </c>
      <c r="C27" s="9" t="s">
        <v>13</v>
      </c>
      <c r="D27" s="18" t="s">
        <v>82</v>
      </c>
      <c r="E27" s="8" t="s">
        <v>27</v>
      </c>
      <c r="F27" s="19" t="s">
        <v>60</v>
      </c>
      <c r="G27" s="20" t="s">
        <v>58</v>
      </c>
    </row>
    <row r="28" customFormat="false" ht="15" hidden="false" customHeight="false" outlineLevel="0" collapsed="false">
      <c r="A28" s="21"/>
      <c r="B28" s="8" t="s">
        <v>10</v>
      </c>
      <c r="C28" s="9" t="s">
        <v>13</v>
      </c>
      <c r="D28" s="18" t="s">
        <v>83</v>
      </c>
      <c r="E28" s="8" t="s">
        <v>27</v>
      </c>
      <c r="F28" s="19" t="s">
        <v>62</v>
      </c>
      <c r="G28" s="20" t="s">
        <v>58</v>
      </c>
    </row>
    <row r="29" customFormat="false" ht="15" hidden="false" customHeight="false" outlineLevel="0" collapsed="false">
      <c r="A29" s="21"/>
      <c r="B29" s="8" t="s">
        <v>10</v>
      </c>
      <c r="C29" s="9" t="s">
        <v>13</v>
      </c>
      <c r="D29" s="18" t="s">
        <v>84</v>
      </c>
      <c r="E29" s="8" t="s">
        <v>27</v>
      </c>
      <c r="F29" s="19" t="s">
        <v>85</v>
      </c>
      <c r="G29" s="20" t="s">
        <v>55</v>
      </c>
    </row>
    <row r="30" customFormat="false" ht="15" hidden="false" customHeight="false" outlineLevel="0" collapsed="false">
      <c r="A30" s="21"/>
      <c r="B30" s="8" t="s">
        <v>10</v>
      </c>
      <c r="C30" s="9" t="s">
        <v>13</v>
      </c>
      <c r="D30" s="18" t="s">
        <v>86</v>
      </c>
      <c r="E30" s="8" t="s">
        <v>27</v>
      </c>
      <c r="F30" s="23" t="s">
        <v>87</v>
      </c>
      <c r="G30" s="20" t="s">
        <v>55</v>
      </c>
    </row>
    <row r="32" customFormat="false" ht="15" hidden="false" customHeight="false" outlineLevel="0" collapsed="false">
      <c r="A32" s="17" t="s">
        <v>15</v>
      </c>
      <c r="B32" s="8" t="s">
        <v>10</v>
      </c>
      <c r="C32" s="9" t="s">
        <v>13</v>
      </c>
      <c r="D32" s="18" t="s">
        <v>88</v>
      </c>
      <c r="E32" s="8" t="s">
        <v>27</v>
      </c>
      <c r="F32" s="19" t="s">
        <v>89</v>
      </c>
      <c r="G32" s="20" t="s">
        <v>15</v>
      </c>
    </row>
    <row r="33" customFormat="false" ht="15" hidden="false" customHeight="false" outlineLevel="0" collapsed="false">
      <c r="A33" s="21"/>
      <c r="B33" s="8" t="s">
        <v>10</v>
      </c>
      <c r="C33" s="9" t="s">
        <v>13</v>
      </c>
      <c r="D33" s="18" t="s">
        <v>90</v>
      </c>
      <c r="E33" s="8" t="s">
        <v>27</v>
      </c>
      <c r="F33" s="19" t="s">
        <v>91</v>
      </c>
      <c r="G33" s="20" t="s">
        <v>15</v>
      </c>
    </row>
    <row r="34" customFormat="false" ht="15" hidden="false" customHeight="false" outlineLevel="0" collapsed="false">
      <c r="A34" s="21"/>
      <c r="B34" s="8" t="s">
        <v>10</v>
      </c>
      <c r="C34" s="9" t="s">
        <v>13</v>
      </c>
      <c r="D34" s="18" t="s">
        <v>92</v>
      </c>
      <c r="E34" s="8" t="s">
        <v>93</v>
      </c>
      <c r="F34" s="19" t="s">
        <v>94</v>
      </c>
      <c r="G34" s="20" t="s">
        <v>15</v>
      </c>
    </row>
    <row r="35" customFormat="false" ht="15" hidden="false" customHeight="false" outlineLevel="0" collapsed="false">
      <c r="A35" s="21"/>
      <c r="B35" s="8" t="s">
        <v>10</v>
      </c>
      <c r="C35" s="9" t="s">
        <v>13</v>
      </c>
      <c r="D35" s="18" t="s">
        <v>95</v>
      </c>
      <c r="E35" s="8" t="s">
        <v>27</v>
      </c>
      <c r="F35" s="19" t="s">
        <v>96</v>
      </c>
      <c r="G35" s="18" t="s">
        <v>97</v>
      </c>
    </row>
    <row r="36" customFormat="false" ht="15" hidden="false" customHeight="false" outlineLevel="0" collapsed="false">
      <c r="A36" s="21"/>
      <c r="B36" s="8" t="s">
        <v>10</v>
      </c>
      <c r="C36" s="9" t="s">
        <v>13</v>
      </c>
      <c r="D36" s="18" t="s">
        <v>98</v>
      </c>
      <c r="E36" s="8" t="s">
        <v>27</v>
      </c>
      <c r="F36" s="19" t="s">
        <v>99</v>
      </c>
      <c r="G36" s="18" t="s">
        <v>100</v>
      </c>
    </row>
    <row r="37" customFormat="false" ht="15" hidden="false" customHeight="false" outlineLevel="0" collapsed="false">
      <c r="A37" s="21"/>
      <c r="B37" s="8" t="s">
        <v>10</v>
      </c>
      <c r="C37" s="9" t="s">
        <v>13</v>
      </c>
      <c r="D37" s="18" t="s">
        <v>101</v>
      </c>
      <c r="E37" s="8" t="s">
        <v>27</v>
      </c>
      <c r="F37" s="19" t="s">
        <v>102</v>
      </c>
      <c r="G37" s="18" t="s">
        <v>103</v>
      </c>
    </row>
    <row r="38" customFormat="false" ht="15" hidden="false" customHeight="false" outlineLevel="0" collapsed="false">
      <c r="A38" s="21"/>
      <c r="B38" s="8" t="s">
        <v>10</v>
      </c>
      <c r="C38" s="9" t="s">
        <v>13</v>
      </c>
      <c r="D38" s="18" t="s">
        <v>104</v>
      </c>
      <c r="E38" s="8" t="s">
        <v>27</v>
      </c>
      <c r="F38" s="19" t="s">
        <v>105</v>
      </c>
      <c r="G38" s="18" t="s">
        <v>106</v>
      </c>
    </row>
    <row r="39" customFormat="false" ht="15" hidden="false" customHeight="false" outlineLevel="0" collapsed="false">
      <c r="A39" s="21"/>
      <c r="B39" s="8" t="s">
        <v>10</v>
      </c>
      <c r="C39" s="9" t="s">
        <v>13</v>
      </c>
      <c r="D39" s="18" t="s">
        <v>107</v>
      </c>
      <c r="E39" s="8" t="s">
        <v>27</v>
      </c>
      <c r="F39" s="19" t="s">
        <v>108</v>
      </c>
      <c r="G39" s="18" t="s">
        <v>109</v>
      </c>
    </row>
    <row r="40" customFormat="false" ht="15" hidden="false" customHeight="false" outlineLevel="0" collapsed="false">
      <c r="A40" s="21"/>
      <c r="B40" s="8" t="s">
        <v>10</v>
      </c>
      <c r="C40" s="9" t="s">
        <v>13</v>
      </c>
      <c r="D40" s="18" t="s">
        <v>110</v>
      </c>
      <c r="E40" s="8" t="s">
        <v>27</v>
      </c>
      <c r="F40" s="19" t="s">
        <v>111</v>
      </c>
      <c r="G40" s="20" t="s">
        <v>15</v>
      </c>
    </row>
    <row r="41" customFormat="false" ht="15" hidden="false" customHeight="false" outlineLevel="0" collapsed="false">
      <c r="A41" s="21"/>
      <c r="B41" s="8" t="s">
        <v>10</v>
      </c>
      <c r="C41" s="9" t="s">
        <v>13</v>
      </c>
      <c r="D41" s="18" t="s">
        <v>112</v>
      </c>
      <c r="E41" s="8" t="s">
        <v>27</v>
      </c>
      <c r="F41" s="19" t="s">
        <v>113</v>
      </c>
      <c r="G41" s="20" t="s">
        <v>15</v>
      </c>
    </row>
    <row r="43" customFormat="false" ht="15" hidden="false" customHeight="false" outlineLevel="0" collapsed="false">
      <c r="A43" s="17" t="s">
        <v>16</v>
      </c>
      <c r="B43" s="8" t="s">
        <v>10</v>
      </c>
      <c r="C43" s="9" t="s">
        <v>13</v>
      </c>
      <c r="D43" s="18" t="s">
        <v>114</v>
      </c>
      <c r="E43" s="8" t="s">
        <v>27</v>
      </c>
      <c r="F43" s="23" t="s">
        <v>115</v>
      </c>
      <c r="G43" s="18" t="s">
        <v>52</v>
      </c>
    </row>
    <row r="44" customFormat="false" ht="15" hidden="false" customHeight="false" outlineLevel="0" collapsed="false">
      <c r="A44" s="21"/>
      <c r="B44" s="8" t="s">
        <v>10</v>
      </c>
      <c r="C44" s="9" t="s">
        <v>13</v>
      </c>
      <c r="D44" s="18" t="s">
        <v>116</v>
      </c>
      <c r="E44" s="8" t="s">
        <v>27</v>
      </c>
      <c r="F44" s="19" t="s">
        <v>117</v>
      </c>
      <c r="G44" s="20" t="s">
        <v>16</v>
      </c>
    </row>
    <row r="45" customFormat="false" ht="15" hidden="false" customHeight="false" outlineLevel="0" collapsed="false">
      <c r="A45" s="21"/>
      <c r="B45" s="8" t="s">
        <v>10</v>
      </c>
      <c r="C45" s="9" t="s">
        <v>13</v>
      </c>
      <c r="D45" s="18" t="s">
        <v>118</v>
      </c>
      <c r="E45" s="8" t="s">
        <v>27</v>
      </c>
      <c r="F45" s="19" t="s">
        <v>119</v>
      </c>
      <c r="G45" s="20" t="s">
        <v>16</v>
      </c>
    </row>
    <row r="46" customFormat="false" ht="15" hidden="false" customHeight="false" outlineLevel="0" collapsed="false">
      <c r="A46" s="21"/>
      <c r="B46" s="8" t="s">
        <v>10</v>
      </c>
      <c r="C46" s="9" t="s">
        <v>13</v>
      </c>
      <c r="D46" s="18" t="s">
        <v>120</v>
      </c>
      <c r="E46" s="8" t="s">
        <v>27</v>
      </c>
      <c r="F46" s="19" t="s">
        <v>121</v>
      </c>
      <c r="G46" s="20" t="s">
        <v>16</v>
      </c>
    </row>
    <row r="47" customFormat="false" ht="15" hidden="false" customHeight="false" outlineLevel="0" collapsed="false">
      <c r="A47" s="21"/>
      <c r="B47" s="8" t="s">
        <v>10</v>
      </c>
      <c r="C47" s="9" t="s">
        <v>13</v>
      </c>
      <c r="D47" s="18" t="s">
        <v>122</v>
      </c>
      <c r="E47" s="8" t="s">
        <v>93</v>
      </c>
      <c r="F47" s="19" t="s">
        <v>123</v>
      </c>
      <c r="G47" s="20" t="s">
        <v>16</v>
      </c>
    </row>
    <row r="48" customFormat="false" ht="15" hidden="false" customHeight="false" outlineLevel="0" collapsed="false">
      <c r="A48" s="21"/>
      <c r="B48" s="8" t="s">
        <v>10</v>
      </c>
      <c r="C48" s="9" t="s">
        <v>13</v>
      </c>
      <c r="D48" s="18" t="s">
        <v>124</v>
      </c>
      <c r="E48" s="8" t="s">
        <v>27</v>
      </c>
      <c r="F48" s="19" t="s">
        <v>117</v>
      </c>
      <c r="G48" s="20" t="s">
        <v>16</v>
      </c>
    </row>
    <row r="49" customFormat="false" ht="15" hidden="false" customHeight="false" outlineLevel="0" collapsed="false">
      <c r="A49" s="21"/>
      <c r="B49" s="8" t="s">
        <v>10</v>
      </c>
      <c r="C49" s="9" t="s">
        <v>13</v>
      </c>
      <c r="D49" s="18" t="s">
        <v>125</v>
      </c>
      <c r="E49" s="8" t="s">
        <v>27</v>
      </c>
      <c r="F49" s="19" t="s">
        <v>126</v>
      </c>
      <c r="G49" s="20" t="s">
        <v>16</v>
      </c>
    </row>
    <row r="50" customFormat="false" ht="15" hidden="false" customHeight="false" outlineLevel="0" collapsed="false">
      <c r="A50" s="21"/>
      <c r="B50" s="8" t="s">
        <v>10</v>
      </c>
      <c r="C50" s="9" t="s">
        <v>13</v>
      </c>
      <c r="D50" s="18" t="s">
        <v>127</v>
      </c>
      <c r="E50" s="8" t="s">
        <v>27</v>
      </c>
      <c r="F50" s="19" t="s">
        <v>128</v>
      </c>
      <c r="G50" s="20" t="s">
        <v>16</v>
      </c>
    </row>
    <row r="51" customFormat="false" ht="15" hidden="false" customHeight="false" outlineLevel="0" collapsed="false">
      <c r="A51" s="21"/>
      <c r="B51" s="8" t="s">
        <v>10</v>
      </c>
      <c r="C51" s="9" t="s">
        <v>13</v>
      </c>
      <c r="D51" s="18" t="s">
        <v>129</v>
      </c>
      <c r="E51" s="8" t="s">
        <v>27</v>
      </c>
      <c r="F51" s="19" t="s">
        <v>130</v>
      </c>
      <c r="G51" s="20" t="s">
        <v>16</v>
      </c>
    </row>
    <row r="53" customFormat="false" ht="15" hidden="false" customHeight="false" outlineLevel="0" collapsed="false">
      <c r="A53" s="17" t="s">
        <v>12</v>
      </c>
      <c r="B53" s="8" t="s">
        <v>17</v>
      </c>
      <c r="C53" s="9" t="s">
        <v>11</v>
      </c>
      <c r="D53" s="18" t="s">
        <v>131</v>
      </c>
      <c r="E53" s="8" t="s">
        <v>93</v>
      </c>
      <c r="F53" s="23" t="s">
        <v>132</v>
      </c>
      <c r="G53" s="18" t="s">
        <v>133</v>
      </c>
    </row>
    <row r="54" customFormat="false" ht="15" hidden="false" customHeight="false" outlineLevel="0" collapsed="false">
      <c r="A54" s="21"/>
      <c r="B54" s="8" t="s">
        <v>17</v>
      </c>
      <c r="C54" s="9" t="s">
        <v>11</v>
      </c>
      <c r="D54" s="18" t="s">
        <v>134</v>
      </c>
      <c r="E54" s="8" t="s">
        <v>27</v>
      </c>
      <c r="F54" s="23" t="s">
        <v>132</v>
      </c>
      <c r="G54" s="18" t="s">
        <v>133</v>
      </c>
    </row>
    <row r="55" customFormat="false" ht="15" hidden="false" customHeight="false" outlineLevel="0" collapsed="false">
      <c r="A55" s="21"/>
      <c r="B55" s="8" t="s">
        <v>17</v>
      </c>
      <c r="C55" s="9" t="s">
        <v>11</v>
      </c>
      <c r="D55" s="18" t="s">
        <v>135</v>
      </c>
      <c r="E55" s="8" t="s">
        <v>27</v>
      </c>
      <c r="F55" s="23" t="s">
        <v>136</v>
      </c>
      <c r="G55" s="18" t="s">
        <v>133</v>
      </c>
    </row>
    <row r="57" customFormat="false" ht="15" hidden="false" customHeight="false" outlineLevel="0" collapsed="false">
      <c r="A57" s="22" t="s">
        <v>49</v>
      </c>
      <c r="B57" s="8" t="s">
        <v>17</v>
      </c>
      <c r="C57" s="9" t="s">
        <v>11</v>
      </c>
      <c r="D57" s="18" t="s">
        <v>137</v>
      </c>
      <c r="E57" s="8" t="s">
        <v>27</v>
      </c>
      <c r="F57" s="23" t="s">
        <v>138</v>
      </c>
      <c r="G57" s="18" t="s">
        <v>139</v>
      </c>
    </row>
    <row r="59" customFormat="false" ht="15" hidden="false" customHeight="false" outlineLevel="0" collapsed="false">
      <c r="A59" s="17" t="s">
        <v>15</v>
      </c>
      <c r="B59" s="8" t="s">
        <v>17</v>
      </c>
      <c r="C59" s="9" t="s">
        <v>11</v>
      </c>
      <c r="D59" s="18" t="s">
        <v>140</v>
      </c>
      <c r="E59" s="8" t="s">
        <v>27</v>
      </c>
      <c r="F59" s="23" t="s">
        <v>141</v>
      </c>
      <c r="G59" s="18" t="s">
        <v>139</v>
      </c>
    </row>
    <row r="61" customFormat="false" ht="15" hidden="false" customHeight="false" outlineLevel="0" collapsed="false">
      <c r="A61" s="17" t="s">
        <v>16</v>
      </c>
      <c r="B61" s="8" t="s">
        <v>17</v>
      </c>
      <c r="C61" s="9" t="s">
        <v>11</v>
      </c>
      <c r="D61" s="18" t="s">
        <v>142</v>
      </c>
      <c r="E61" s="8" t="s">
        <v>93</v>
      </c>
      <c r="F61" s="19" t="s">
        <v>143</v>
      </c>
      <c r="G61" s="18" t="s">
        <v>144</v>
      </c>
    </row>
    <row r="62" customFormat="false" ht="15" hidden="false" customHeight="false" outlineLevel="0" collapsed="false">
      <c r="A62" s="21"/>
      <c r="B62" s="8" t="s">
        <v>17</v>
      </c>
      <c r="C62" s="9" t="s">
        <v>11</v>
      </c>
      <c r="D62" s="18" t="s">
        <v>145</v>
      </c>
      <c r="E62" s="8" t="s">
        <v>27</v>
      </c>
      <c r="F62" s="19" t="s">
        <v>143</v>
      </c>
      <c r="G62" s="20" t="s">
        <v>16</v>
      </c>
    </row>
    <row r="63" customFormat="false" ht="15" hidden="false" customHeight="false" outlineLevel="0" collapsed="false">
      <c r="A63" s="21"/>
      <c r="B63" s="8" t="s">
        <v>17</v>
      </c>
      <c r="C63" s="9" t="s">
        <v>11</v>
      </c>
      <c r="D63" s="18" t="s">
        <v>146</v>
      </c>
      <c r="E63" s="8" t="s">
        <v>93</v>
      </c>
      <c r="F63" s="23" t="s">
        <v>147</v>
      </c>
      <c r="G63" s="18" t="s">
        <v>148</v>
      </c>
    </row>
    <row r="64" customFormat="false" ht="15" hidden="false" customHeight="false" outlineLevel="0" collapsed="false">
      <c r="A64" s="21"/>
      <c r="B64" s="8" t="s">
        <v>17</v>
      </c>
      <c r="C64" s="9" t="s">
        <v>11</v>
      </c>
      <c r="D64" s="18" t="s">
        <v>149</v>
      </c>
      <c r="E64" s="8" t="s">
        <v>27</v>
      </c>
      <c r="F64" s="23" t="s">
        <v>150</v>
      </c>
      <c r="G64" s="18" t="s">
        <v>148</v>
      </c>
    </row>
    <row r="65" customFormat="false" ht="15" hidden="false" customHeight="false" outlineLevel="0" collapsed="false">
      <c r="A65" s="21"/>
      <c r="B65" s="8" t="s">
        <v>17</v>
      </c>
      <c r="C65" s="9" t="s">
        <v>11</v>
      </c>
      <c r="D65" s="18" t="s">
        <v>151</v>
      </c>
      <c r="E65" s="8" t="s">
        <v>93</v>
      </c>
      <c r="F65" s="19" t="s">
        <v>152</v>
      </c>
      <c r="G65" s="18" t="s">
        <v>148</v>
      </c>
    </row>
    <row r="66" customFormat="false" ht="15" hidden="false" customHeight="false" outlineLevel="0" collapsed="false">
      <c r="A66" s="21"/>
      <c r="B66" s="8" t="s">
        <v>17</v>
      </c>
      <c r="C66" s="9" t="s">
        <v>11</v>
      </c>
      <c r="D66" s="18" t="s">
        <v>153</v>
      </c>
      <c r="E66" s="8" t="s">
        <v>27</v>
      </c>
      <c r="F66" s="23" t="s">
        <v>154</v>
      </c>
      <c r="G66" s="18" t="s">
        <v>148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2026-05-04T05:40:20Z</dcterms:created>
  <dc:creator>openpyxl</dc:creator>
  <dc:description/>
  <dc:language>en-US</dc:language>
  <cp:lastModifiedBy/>
  <dcterms:modified xsi:type="dcterms:W3CDTF">2026-05-04T05:40:20Z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